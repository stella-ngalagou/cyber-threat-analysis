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teformes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<sst xmlns="http://schemas.openxmlformats.org/spreadsheetml/2006/main" count="76" uniqueCount="64">
  <si>
    <t xml:space="preserve">Plateformes ciblées par les groupes (aviation / aérospatial, actifs depuis ≤ 2013)</t>
  </si>
  <si>
    <t xml:space="preserve">Légende : ✓ = usage observé · (✓) = usage indirect ou non confirmé · vide = aucun usage documenté</t>
  </si>
  <si>
    <t xml:space="preserve">Plateforme</t>
  </si>
  <si>
    <t xml:space="preserve">Dragonfly</t>
  </si>
  <si>
    <t xml:space="preserve">Leviathan</t>
  </si>
  <si>
    <t xml:space="preserve">APT33</t>
  </si>
  <si>
    <t xml:space="preserve">menuPass</t>
  </si>
  <si>
    <t xml:space="preserve">APT5</t>
  </si>
  <si>
    <t xml:space="preserve">Axiom</t>
  </si>
  <si>
    <t xml:space="preserve">TG-3390</t>
  </si>
  <si>
    <t xml:space="preserve">Nb groupes (✓)</t>
  </si>
  <si>
    <t xml:space="preserve">Nb (✓) partiels</t>
  </si>
  <si>
    <t xml:space="preserve">Remarque</t>
  </si>
  <si>
    <t xml:space="preserve">Windows</t>
  </si>
  <si>
    <t xml:space="preserve">✓</t>
  </si>
  <si>
    <t xml:space="preserve">Cible commune aux 7 groupes</t>
  </si>
  <si>
    <t xml:space="preserve">Linux / Unix</t>
  </si>
  <si>
    <t xml:space="preserve">✓ (SSH)</t>
  </si>
  <si>
    <t xml:space="preserve">✓ (appliances, cron)</t>
  </si>
  <si>
    <t xml:space="preserve">(✓)</t>
  </si>
  <si>
    <t xml:space="preserve">✓ (SysUpdate)</t>
  </si>
  <si>
    <t xml:space="preserve">Axiom : Derusbi a une variante Linux, usage contre Linux non documenté</t>
  </si>
  <si>
    <t xml:space="preserve">Équipements réseau / VPN</t>
  </si>
  <si>
    <t xml:space="preserve">✓ (Citrix, Fortinet)</t>
  </si>
  <si>
    <t xml:space="preserve">✓ (appliances, routeurs SOHO)</t>
  </si>
  <si>
    <t xml:space="preserve">✓ (Pulse Secure)</t>
  </si>
  <si>
    <t xml:space="preserve">✓ (Pulse Secure, Citrix ADC)</t>
  </si>
  <si>
    <t xml:space="preserve">APT5 est le spécialiste des équipements de bordure</t>
  </si>
  <si>
    <t xml:space="preserve">Hyperviseur ESXi</t>
  </si>
  <si>
    <t xml:space="preserve">Cloud / SaaS (Microsoft 365)</t>
  </si>
  <si>
    <t xml:space="preserve">Leviathan : vol de jetons JWT via équipements compromis (usage indirect)</t>
  </si>
  <si>
    <t xml:space="preserve">Serveurs Exchange / SharePoint</t>
  </si>
  <si>
    <t xml:space="preserve">✓ (OWA)</t>
  </si>
  <si>
    <t xml:space="preserve">✓ (Ruler)</t>
  </si>
  <si>
    <t xml:space="preserve">✓ (OwaAuth, CVE SharePoint/Exchange)</t>
  </si>
  <si>
    <t xml:space="preserve">ICS (systèmes industriels)</t>
  </si>
  <si>
    <t xml:space="preserve">Techniques de la matrice ATT&amp;CK for ICS</t>
  </si>
  <si>
    <t xml:space="preserve">macOS / mobile</t>
  </si>
  <si>
    <t xml:space="preserve">Capacité de certains outils (Empire, NETWIRE, Pupy) mais aucun usage observé</t>
  </si>
  <si>
    <t xml:space="preserve">Nb plateformes (✓) par groupe</t>
  </si>
  <si>
    <t xml:space="preserve">Points clés</t>
  </si>
  <si>
    <t xml:space="preserve">Windows est la cible commune aux 7 groupes.</t>
  </si>
  <si>
    <t xml:space="preserve">Les équipements de bordure (VPN, appliances) sont le deuxième vecteur : 4 groupes, APT5 en tête.</t>
  </si>
  <si>
    <t xml:space="preserve">Seuls Dragonfly et APT33 ont des techniques de la matrice ICS (cohérent avec énergie / aviation).</t>
  </si>
  <si>
    <t xml:space="preserve">APT5 a la surface la plus large : Windows, Linux, VPN, ESXi et Microsoft 365.</t>
  </si>
  <si>
    <t xml:space="preserve">Aucun groupe ne cible macOS ou le mobile (capacité de certains outils seulement).</t>
  </si>
  <si>
    <t xml:space="preserve">Méthode</t>
  </si>
  <si>
    <t xml:space="preserve">Plateformes déduites des usages décrits dans les techniques et logiciels des pages MITRE ATT&amp;CK de chaque groupe (version v19, consultée le 08/10/2026). MITRE ne fournit pas de plateforme ciblée par groupe.</t>
  </si>
  <si>
    <t xml:space="preserve">Pour une vue officielle : ATT&amp;CK Navigator, layer de chaque groupe filtré par plateforme.</t>
  </si>
  <si>
    <t xml:space="preserve">Sources</t>
  </si>
  <si>
    <t xml:space="preserve">Dragonfly – G0035</t>
  </si>
  <si>
    <t xml:space="preserve">https://attack.mitre.org/groups/G0035/</t>
  </si>
  <si>
    <t xml:space="preserve">Leviathan – G0065</t>
  </si>
  <si>
    <t xml:space="preserve">https://attack.mitre.org/groups/G0065/</t>
  </si>
  <si>
    <t xml:space="preserve">APT33 – G0064</t>
  </si>
  <si>
    <t xml:space="preserve">https://attack.mitre.org/groups/G0064/</t>
  </si>
  <si>
    <t xml:space="preserve">menuPass – G0045</t>
  </si>
  <si>
    <t xml:space="preserve">https://attack.mitre.org/groups/G0045/</t>
  </si>
  <si>
    <t xml:space="preserve">APT5 – G1023</t>
  </si>
  <si>
    <t xml:space="preserve">https://attack.mitre.org/groups/G1023/</t>
  </si>
  <si>
    <t xml:space="preserve">Axiom – G0001</t>
  </si>
  <si>
    <t xml:space="preserve">https://attack.mitre.org/groups/G0001/</t>
  </si>
  <si>
    <t xml:space="preserve">Threat Group-3390 – G0027</t>
  </si>
  <si>
    <t xml:space="preserve">https://attack.mitre.org/groups/G0027/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</si>
</sst>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u val="single"/>
      <sz val="11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E2EFDA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attack.mitre.org/groups/G0035/" TargetMode="External"/><Relationship Id="rId2" Type="http://schemas.openxmlformats.org/officeDocument/2006/relationships/hyperlink" Target="https://attack.mitre.org/groups/G0065/" TargetMode="External"/><Relationship Id="rId3" Type="http://schemas.openxmlformats.org/officeDocument/2006/relationships/hyperlink" Target="https://attack.mitre.org/groups/G0064/" TargetMode="External"/><Relationship Id="rId4" Type="http://schemas.openxmlformats.org/officeDocument/2006/relationships/hyperlink" Target="https://attack.mitre.org/groups/G0045/" TargetMode="External"/><Relationship Id="rId5" Type="http://schemas.openxmlformats.org/officeDocument/2006/relationships/hyperlink" Target="https://attack.mitre.org/groups/G1023/" TargetMode="External"/><Relationship Id="rId6" Type="http://schemas.openxmlformats.org/officeDocument/2006/relationships/hyperlink" Target="https://attack.mitre.org/groups/G0001/" TargetMode="External"/><Relationship Id="rId7" Type="http://schemas.openxmlformats.org/officeDocument/2006/relationships/hyperlink" Target="https://attack.mitre.org/groups/G0027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8"/>
    <col collapsed="false" customWidth="true" hidden="false" outlineLevel="0" max="10" min="9" style="0" width="12"/>
    <col collapsed="false" customWidth="true" hidden="false" outlineLevel="0" max="11" min="11" style="0" width="5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s">
        <v>13</v>
      </c>
      <c r="B5" s="5" t="s">
        <v>14</v>
      </c>
      <c r="C5" s="5" t="s">
        <v>14</v>
      </c>
      <c r="D5" s="5" t="s">
        <v>14</v>
      </c>
      <c r="E5" s="5" t="s">
        <v>14</v>
      </c>
      <c r="F5" s="5" t="s">
        <v>14</v>
      </c>
      <c r="G5" s="5" t="s">
        <v>14</v>
      </c>
      <c r="H5" s="5" t="s">
        <v>14</v>
      </c>
      <c r="I5" s="6" t="n">
        <f aca="false">COUNTIF(B5:H5,"✓*")</f>
        <v>7</v>
      </c>
      <c r="J5" s="6" t="n">
        <f aca="false">COUNTIF(B5:H5,"(✓)*")</f>
        <v>0</v>
      </c>
      <c r="K5" s="7" t="s">
        <v>15</v>
      </c>
    </row>
    <row r="6" customFormat="false" ht="26.85" hidden="false" customHeight="false" outlineLevel="0" collapsed="false">
      <c r="A6" s="4" t="s">
        <v>16</v>
      </c>
      <c r="B6" s="6"/>
      <c r="C6" s="5" t="s">
        <v>17</v>
      </c>
      <c r="D6" s="6"/>
      <c r="E6" s="6"/>
      <c r="F6" s="5" t="s">
        <v>18</v>
      </c>
      <c r="G6" s="8" t="s">
        <v>19</v>
      </c>
      <c r="H6" s="5" t="s">
        <v>20</v>
      </c>
      <c r="I6" s="6" t="n">
        <f aca="false">COUNTIF(B6:H6,"✓*")</f>
        <v>3</v>
      </c>
      <c r="J6" s="6" t="n">
        <f aca="false">COUNTIF(B6:H6,"(✓)*")</f>
        <v>1</v>
      </c>
      <c r="K6" s="7" t="s">
        <v>21</v>
      </c>
    </row>
    <row r="7" customFormat="false" ht="26.85" hidden="false" customHeight="false" outlineLevel="0" collapsed="false">
      <c r="A7" s="4" t="s">
        <v>22</v>
      </c>
      <c r="B7" s="5" t="s">
        <v>23</v>
      </c>
      <c r="C7" s="5" t="s">
        <v>24</v>
      </c>
      <c r="D7" s="6"/>
      <c r="E7" s="5" t="s">
        <v>25</v>
      </c>
      <c r="F7" s="5" t="s">
        <v>26</v>
      </c>
      <c r="G7" s="6"/>
      <c r="H7" s="6"/>
      <c r="I7" s="6" t="n">
        <f aca="false">COUNTIF(B7:H7,"✓*")</f>
        <v>4</v>
      </c>
      <c r="J7" s="6" t="n">
        <f aca="false">COUNTIF(B7:H7,"(✓)*")</f>
        <v>0</v>
      </c>
      <c r="K7" s="7" t="s">
        <v>27</v>
      </c>
    </row>
    <row r="8" customFormat="false" ht="15" hidden="false" customHeight="false" outlineLevel="0" collapsed="false">
      <c r="A8" s="4" t="s">
        <v>28</v>
      </c>
      <c r="B8" s="6"/>
      <c r="C8" s="6"/>
      <c r="D8" s="6"/>
      <c r="E8" s="6"/>
      <c r="F8" s="5" t="s">
        <v>14</v>
      </c>
      <c r="G8" s="6"/>
      <c r="H8" s="6"/>
      <c r="I8" s="6" t="n">
        <f aca="false">COUNTIF(B8:H8,"✓*")</f>
        <v>1</v>
      </c>
      <c r="J8" s="6" t="n">
        <f aca="false">COUNTIF(B8:H8,"(✓)*")</f>
        <v>0</v>
      </c>
      <c r="K8" s="7"/>
    </row>
    <row r="9" customFormat="false" ht="26.85" hidden="false" customHeight="false" outlineLevel="0" collapsed="false">
      <c r="A9" s="4" t="s">
        <v>29</v>
      </c>
      <c r="B9" s="6"/>
      <c r="C9" s="8" t="s">
        <v>19</v>
      </c>
      <c r="D9" s="5" t="s">
        <v>14</v>
      </c>
      <c r="E9" s="6"/>
      <c r="F9" s="5" t="s">
        <v>14</v>
      </c>
      <c r="G9" s="6"/>
      <c r="H9" s="6"/>
      <c r="I9" s="6" t="n">
        <f aca="false">COUNTIF(B9:H9,"✓*")</f>
        <v>2</v>
      </c>
      <c r="J9" s="6" t="n">
        <f aca="false">COUNTIF(B9:H9,"(✓)*")</f>
        <v>1</v>
      </c>
      <c r="K9" s="7" t="s">
        <v>30</v>
      </c>
    </row>
    <row r="10" customFormat="false" ht="39.55" hidden="false" customHeight="false" outlineLevel="0" collapsed="false">
      <c r="A10" s="4" t="s">
        <v>31</v>
      </c>
      <c r="B10" s="5" t="s">
        <v>32</v>
      </c>
      <c r="C10" s="6"/>
      <c r="D10" s="5" t="s">
        <v>33</v>
      </c>
      <c r="E10" s="6"/>
      <c r="F10" s="6"/>
      <c r="G10" s="6"/>
      <c r="H10" s="5" t="s">
        <v>34</v>
      </c>
      <c r="I10" s="6" t="n">
        <f aca="false">COUNTIF(B10:H10,"✓*")</f>
        <v>3</v>
      </c>
      <c r="J10" s="6" t="n">
        <f aca="false">COUNTIF(B10:H10,"(✓)*")</f>
        <v>0</v>
      </c>
      <c r="K10" s="7"/>
    </row>
    <row r="11" customFormat="false" ht="15" hidden="false" customHeight="false" outlineLevel="0" collapsed="false">
      <c r="A11" s="4" t="s">
        <v>35</v>
      </c>
      <c r="B11" s="5" t="s">
        <v>14</v>
      </c>
      <c r="C11" s="6"/>
      <c r="D11" s="5" t="s">
        <v>14</v>
      </c>
      <c r="E11" s="6"/>
      <c r="F11" s="6"/>
      <c r="G11" s="6"/>
      <c r="H11" s="6"/>
      <c r="I11" s="6" t="n">
        <f aca="false">COUNTIF(B11:H11,"✓*")</f>
        <v>2</v>
      </c>
      <c r="J11" s="6" t="n">
        <f aca="false">COUNTIF(B11:H11,"(✓)*")</f>
        <v>0</v>
      </c>
      <c r="K11" s="7" t="s">
        <v>36</v>
      </c>
    </row>
    <row r="12" customFormat="false" ht="26.85" hidden="false" customHeight="false" outlineLevel="0" collapsed="false">
      <c r="A12" s="4" t="s">
        <v>37</v>
      </c>
      <c r="B12" s="6"/>
      <c r="C12" s="6"/>
      <c r="D12" s="6"/>
      <c r="E12" s="6"/>
      <c r="F12" s="6"/>
      <c r="G12" s="6"/>
      <c r="H12" s="6"/>
      <c r="I12" s="6" t="n">
        <f aca="false">COUNTIF(B12:H12,"✓*")</f>
        <v>0</v>
      </c>
      <c r="J12" s="6" t="n">
        <f aca="false">COUNTIF(B12:H12,"(✓)*")</f>
        <v>0</v>
      </c>
      <c r="K12" s="7" t="s">
        <v>38</v>
      </c>
    </row>
    <row r="13" customFormat="false" ht="15" hidden="false" customHeight="false" outlineLevel="0" collapsed="false">
      <c r="A13" s="9" t="s">
        <v>39</v>
      </c>
      <c r="B13" s="10" t="n">
        <f aca="false">COUNTIF(B5:B12,"✓*")</f>
        <v>4</v>
      </c>
      <c r="C13" s="10" t="n">
        <f aca="false">COUNTIF(C5:C12,"✓*")</f>
        <v>3</v>
      </c>
      <c r="D13" s="10" t="n">
        <f aca="false">COUNTIF(D5:D12,"✓*")</f>
        <v>4</v>
      </c>
      <c r="E13" s="10" t="n">
        <f aca="false">COUNTIF(E5:E12,"✓*")</f>
        <v>2</v>
      </c>
      <c r="F13" s="10" t="n">
        <f aca="false">COUNTIF(F5:F12,"✓*")</f>
        <v>5</v>
      </c>
      <c r="G13" s="10" t="n">
        <f aca="false">COUNTIF(G5:G12,"✓*")</f>
        <v>1</v>
      </c>
      <c r="H13" s="10" t="n">
        <f aca="false">COUNTIF(H5:H12,"✓*")</f>
        <v>3</v>
      </c>
      <c r="I13" s="11"/>
      <c r="J13" s="11"/>
      <c r="K13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  <col collapsed="false" customWidth="true" hidden="false" outlineLevel="0" max="2" min="2" style="0" width="45"/>
  </cols>
  <sheetData>
    <row r="1" customFormat="false" ht="15" hidden="false" customHeight="false" outlineLevel="0" collapsed="false">
      <c r="A1" s="12" t="s">
        <v>40</v>
      </c>
    </row>
    <row r="2" customFormat="false" ht="15" hidden="false" customHeight="false" outlineLevel="0" collapsed="false">
      <c r="A2" s="13" t="s">
        <v>41</v>
      </c>
    </row>
    <row r="3" customFormat="false" ht="15" hidden="false" customHeight="false" outlineLevel="0" collapsed="false">
      <c r="A3" s="13" t="s">
        <v>42</v>
      </c>
    </row>
    <row r="4" customFormat="false" ht="15" hidden="false" customHeight="false" outlineLevel="0" collapsed="false">
      <c r="A4" s="13" t="s">
        <v>43</v>
      </c>
    </row>
    <row r="5" customFormat="false" ht="15" hidden="false" customHeight="false" outlineLevel="0" collapsed="false">
      <c r="A5" s="13" t="s">
        <v>44</v>
      </c>
    </row>
    <row r="6" customFormat="false" ht="15" hidden="false" customHeight="false" outlineLevel="0" collapsed="false">
      <c r="A6" s="13" t="s">
        <v>45</v>
      </c>
    </row>
    <row r="7" customFormat="false" ht="15" hidden="false" customHeight="false" outlineLevel="0" collapsed="false">
      <c r="A7" s="13"/>
    </row>
    <row r="8" customFormat="false" ht="15" hidden="false" customHeight="false" outlineLevel="0" collapsed="false">
      <c r="A8" s="12" t="s">
        <v>46</v>
      </c>
    </row>
    <row r="9" customFormat="false" ht="23.85" hidden="false" customHeight="false" outlineLevel="0" collapsed="false">
      <c r="A9" s="13" t="s">
        <v>47</v>
      </c>
    </row>
    <row r="10" customFormat="false" ht="15" hidden="false" customHeight="false" outlineLevel="0" collapsed="false">
      <c r="A10" s="13" t="s">
        <v>48</v>
      </c>
    </row>
    <row r="11" customFormat="false" ht="15" hidden="false" customHeight="false" outlineLevel="0" collapsed="false">
      <c r="A11" s="13"/>
    </row>
    <row r="12" customFormat="false" ht="15" hidden="false" customHeight="false" outlineLevel="0" collapsed="false">
      <c r="A12" s="12" t="s">
        <v>49</v>
      </c>
    </row>
    <row r="13" customFormat="false" ht="15" hidden="false" customHeight="false" outlineLevel="0" collapsed="false">
      <c r="A13" s="13" t="s">
        <v>50</v>
      </c>
      <c r="B13" s="14" t="s">
        <v>51</v>
      </c>
    </row>
    <row r="14" customFormat="false" ht="15" hidden="false" customHeight="false" outlineLevel="0" collapsed="false">
      <c r="A14" s="13" t="s">
        <v>52</v>
      </c>
      <c r="B14" s="14" t="s">
        <v>53</v>
      </c>
    </row>
    <row r="15" customFormat="false" ht="15" hidden="false" customHeight="false" outlineLevel="0" collapsed="false">
      <c r="A15" s="13" t="s">
        <v>54</v>
      </c>
      <c r="B15" s="14" t="s">
        <v>55</v>
      </c>
    </row>
    <row r="16" customFormat="false" ht="15" hidden="false" customHeight="false" outlineLevel="0" collapsed="false">
      <c r="A16" s="13" t="s">
        <v>56</v>
      </c>
      <c r="B16" s="14" t="s">
        <v>57</v>
      </c>
    </row>
    <row r="17" customFormat="false" ht="15" hidden="false" customHeight="false" outlineLevel="0" collapsed="false">
      <c r="A17" s="13" t="s">
        <v>58</v>
      </c>
      <c r="B17" s="14" t="s">
        <v>59</v>
      </c>
    </row>
    <row r="18" customFormat="false" ht="15" hidden="false" customHeight="false" outlineLevel="0" collapsed="false">
      <c r="A18" s="13" t="s">
        <v>60</v>
      </c>
      <c r="B18" s="14" t="s">
        <v>61</v>
      </c>
    </row>
    <row r="19" customFormat="false" ht="15" hidden="false" customHeight="false" outlineLevel="0" collapsed="false">
      <c r="A19" s="13" t="s">
        <v>62</v>
      </c>
      <c r="B19" s="14" t="s">
        <v>63</v>
      </c>
    </row>
  </sheetData>
  <hyperlinks>
    <hyperlink ref="B13" r:id="rId1" display="https://attack.mitre.org/groups/G0035/"/>
    <hyperlink ref="B14" r:id="rId2" display="https://attack.mitre.org/groups/G0065/"/>
    <hyperlink ref="B15" r:id="rId3" display="https://attack.mitre.org/groups/G0064/"/>
    <hyperlink ref="B16" r:id="rId4" display="https://attack.mitre.org/groups/G0045/"/>
    <hyperlink ref="B17" r:id="rId5" display="https://attack.mitre.org/groups/G1023/"/>
    <hyperlink ref="B18" r:id="rId6" display="https://attack.mitre.org/groups/G0001/"/>
    <hyperlink ref="B19" r:id="rId7" display="https://attack.mitre.org/groups/G0027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2026-10-08T09:16:36Z</dcterms:created>
  <dc:creator>openpyxl</dc:creator>
  <dc:description/>
  <dc:language>en-US</dc:language>
  <cp:lastModifiedBy/>
  <dcterms:modified xsi:type="dcterms:W3CDTF">2026-10-08T09:16:36Z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